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ETAS" sheetId="2" state="visible" r:id="rId2"/>
    <sheet name="PERFORMANCE" sheetId="3" state="visible" r:id="rId3"/>
    <sheet name="AUDIENCIAS" sheetId="4" state="visible" r:id="rId4"/>
    <sheet name="GA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0042A5"/>
      <sz val="9"/>
    </font>
    <font>
      <name val="Arial"/>
      <b val="1"/>
      <color rgb="001A1A1A"/>
      <sz val="10"/>
    </font>
    <font>
      <name val="Arial"/>
      <color rgb="00444444"/>
      <sz val="9"/>
    </font>
    <font>
      <name val="Arial"/>
      <b val="1"/>
      <color rgb="00003087"/>
      <sz val="10"/>
    </font>
    <font>
      <name val="Arial"/>
      <b val="1"/>
      <color rgb="001B5E20"/>
      <sz val="10"/>
    </font>
    <font>
      <name val="Arial"/>
      <b val="1"/>
      <color rgb="000042A5"/>
      <sz val="10"/>
    </font>
    <font>
      <name val="Arial"/>
      <color rgb="00333333"/>
      <sz val="9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i val="1"/>
      <color rgb="00888888"/>
      <sz val="8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8"/>
    </font>
    <font>
      <name val="Arial"/>
      <color rgb="001B5E20"/>
      <sz val="10"/>
    </font>
    <font>
      <name val="Arial"/>
      <sz val="10"/>
    </font>
    <font>
      <name val="Arial"/>
      <i val="1"/>
      <color rgb="00444444"/>
      <sz val="9"/>
    </font>
    <font>
      <name val="Arial"/>
      <color rgb="001A1A1A"/>
      <sz val="10"/>
    </font>
    <font>
      <name val="Arial"/>
      <color rgb="00003087"/>
      <sz val="10"/>
    </font>
  </fonts>
  <fills count="16">
    <fill>
      <patternFill/>
    </fill>
    <fill>
      <patternFill patternType="gray125"/>
    </fill>
    <fill>
      <patternFill patternType="solid">
        <fgColor rgb="00001B4E"/>
        <bgColor rgb="00001B4E"/>
      </patternFill>
    </fill>
    <fill>
      <patternFill patternType="solid">
        <fgColor rgb="000042A5"/>
        <bgColor rgb="000042A5"/>
      </patternFill>
    </fill>
    <fill>
      <patternFill patternType="solid">
        <fgColor rgb="00EEF3FA"/>
        <bgColor rgb="00EEF3FA"/>
      </patternFill>
    </fill>
    <fill>
      <patternFill patternType="solid">
        <fgColor rgb="00FFFDE7"/>
        <bgColor rgb="00FFFDE7"/>
      </patternFill>
    </fill>
    <fill>
      <patternFill patternType="solid">
        <fgColor rgb="00DCE8FF"/>
        <bgColor rgb="00DCE8FF"/>
      </patternFill>
    </fill>
    <fill>
      <patternFill patternType="solid">
        <fgColor rgb="00E6F4EA"/>
        <bgColor rgb="00E6F4EA"/>
      </patternFill>
    </fill>
    <fill>
      <patternFill patternType="solid">
        <fgColor rgb="001565C0"/>
        <bgColor rgb="001565C0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  <fill>
      <patternFill patternType="solid">
        <fgColor rgb="001877F2"/>
        <bgColor rgb="001877F2"/>
      </patternFill>
    </fill>
    <fill>
      <patternFill patternType="solid">
        <fgColor rgb="000A66C2"/>
        <bgColor rgb="000A66C2"/>
      </patternFill>
    </fill>
    <fill>
      <patternFill patternType="solid">
        <fgColor rgb="0034A853"/>
        <bgColor rgb="0034A853"/>
      </patternFill>
    </fill>
    <fill>
      <patternFill patternType="solid">
        <fgColor rgb="004267B2"/>
        <bgColor rgb="004267B2"/>
      </patternFill>
    </fill>
    <fill>
      <patternFill patternType="solid">
        <fgColor rgb="000D7B3E"/>
        <bgColor rgb="000D7B3E"/>
      </patternFill>
    </fill>
  </fills>
  <borders count="5">
    <border>
      <left/>
      <right/>
      <top/>
      <bottom/>
      <diagonal/>
    </border>
    <border>
      <bottom style="thin">
        <color rgb="000042A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5" borderId="2" pivotButton="0" quotePrefix="0" xfId="0"/>
    <xf numFmtId="0" fontId="4" fillId="5" borderId="2" pivotButton="0" quotePrefix="0" xfId="0"/>
    <xf numFmtId="0" fontId="5" fillId="0" borderId="0" applyAlignment="1" pivotButton="0" quotePrefix="0" xfId="0">
      <alignment horizontal="left" vertical="center"/>
    </xf>
    <xf numFmtId="0" fontId="0" fillId="6" borderId="2" pivotButton="0" quotePrefix="0" xfId="0"/>
    <xf numFmtId="0" fontId="6" fillId="6" borderId="2" pivotButton="0" quotePrefix="0" xfId="0"/>
    <xf numFmtId="0" fontId="0" fillId="7" borderId="2" pivotButton="0" quotePrefix="0" xfId="0"/>
    <xf numFmtId="0" fontId="7" fillId="7" borderId="2" pivotButton="0" quotePrefix="0" xfId="0"/>
    <xf numFmtId="0" fontId="0" fillId="4" borderId="2" pivotButton="0" quotePrefix="0" xfId="0"/>
    <xf numFmtId="0" fontId="8" fillId="4" borderId="2" pivotButton="0" quotePrefix="0" xfId="0"/>
    <xf numFmtId="0" fontId="3" fillId="4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10" fillId="8" borderId="4" applyAlignment="1" pivotButton="0" quotePrefix="0" xfId="0">
      <alignment horizontal="center" vertical="center"/>
    </xf>
    <xf numFmtId="0" fontId="11" fillId="9" borderId="3" applyAlignment="1" pivotButton="0" quotePrefix="0" xfId="0">
      <alignment horizontal="left" vertical="center" indent="1"/>
    </xf>
    <xf numFmtId="0" fontId="12" fillId="9" borderId="3" applyAlignment="1" pivotButton="0" quotePrefix="0" xfId="0">
      <alignment horizontal="left" vertical="center" indent="1"/>
    </xf>
    <xf numFmtId="0" fontId="11" fillId="10" borderId="3" applyAlignment="1" pivotButton="0" quotePrefix="0" xfId="0">
      <alignment horizontal="left" vertical="center" indent="1"/>
    </xf>
    <xf numFmtId="0" fontId="12" fillId="10" borderId="3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/>
    </xf>
    <xf numFmtId="0" fontId="16" fillId="2" borderId="4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/>
    </xf>
    <xf numFmtId="164" fontId="17" fillId="7" borderId="3" applyAlignment="1" pivotButton="0" quotePrefix="0" xfId="0">
      <alignment horizontal="center" vertical="center"/>
    </xf>
    <xf numFmtId="3" fontId="17" fillId="7" borderId="3" applyAlignment="1" pivotButton="0" quotePrefix="0" xfId="0">
      <alignment horizontal="center" vertical="center"/>
    </xf>
    <xf numFmtId="165" fontId="17" fillId="7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/>
    </xf>
    <xf numFmtId="0" fontId="0" fillId="0" borderId="4" pivotButton="0" quotePrefix="0" xfId="0"/>
    <xf numFmtId="0" fontId="10" fillId="11" borderId="4" applyAlignment="1" pivotButton="0" quotePrefix="0" xfId="0">
      <alignment horizontal="center" vertical="center"/>
    </xf>
    <xf numFmtId="0" fontId="10" fillId="12" borderId="4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49" fontId="20" fillId="5" borderId="3" applyAlignment="1" pivotButton="0" quotePrefix="0" xfId="0">
      <alignment horizontal="center" vertical="center"/>
    </xf>
    <xf numFmtId="164" fontId="20" fillId="5" borderId="3" applyAlignment="1" pivotButton="0" quotePrefix="0" xfId="0">
      <alignment horizontal="center" vertical="center"/>
    </xf>
    <xf numFmtId="3" fontId="20" fillId="5" borderId="3" applyAlignment="1" pivotButton="0" quotePrefix="0" xfId="0">
      <alignment horizontal="center" vertical="center"/>
    </xf>
    <xf numFmtId="164" fontId="21" fillId="6" borderId="3" applyAlignment="1" pivotButton="0" quotePrefix="0" xfId="0">
      <alignment horizontal="center" vertical="center"/>
    </xf>
    <xf numFmtId="3" fontId="21" fillId="6" borderId="3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0" fillId="14" borderId="4" applyAlignment="1" pivotButton="0" quotePrefix="0" xfId="0">
      <alignment horizontal="center" vertical="center"/>
    </xf>
    <xf numFmtId="165" fontId="20" fillId="5" borderId="3" applyAlignment="1" pivotButton="0" quotePrefix="0" xfId="0">
      <alignment horizontal="center" vertical="center"/>
    </xf>
    <xf numFmtId="0" fontId="10" fillId="15" borderId="4" applyAlignment="1" pivotButton="0" quotePrefix="0" xfId="0">
      <alignment horizontal="center" vertical="center"/>
    </xf>
    <xf numFmtId="166" fontId="21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1B4E"/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0" customWidth="1" min="3" max="3"/>
    <col width="3" customWidth="1" min="4" max="4"/>
    <col width="22" customWidth="1" min="5" max="5"/>
    <col width="36" customWidth="1" min="6" max="6"/>
    <col width="3" customWidth="1" min="7" max="7"/>
  </cols>
  <sheetData>
    <row r="1" ht="8" customHeight="1"/>
    <row r="2" ht="42" customHeight="1">
      <c r="B2" s="1" t="inlineStr">
        <is>
          <t>BTG ETF Genérico  ·  Planilla de Seguimiento Semanal</t>
        </is>
      </c>
    </row>
    <row r="3" ht="22" customHeight="1">
      <c r="B3" s="2" t="inlineStr">
        <is>
          <t>Guía de uso para el equipo de MKT &amp; Comunicaciones · BTG Pactual Chile</t>
        </is>
      </c>
    </row>
    <row r="4" ht="16" customHeight="1"/>
    <row r="5" ht="20" customHeight="1">
      <c r="B5" s="3" t="inlineStr">
        <is>
          <t>CÓDIGO DE COLORES</t>
        </is>
      </c>
      <c r="C5" s="4" t="n"/>
      <c r="D5" s="4" t="n"/>
      <c r="E5" s="4" t="n"/>
      <c r="F5" s="4" t="n"/>
    </row>
    <row r="6" ht="8" customHeight="1"/>
    <row r="7" ht="22" customHeight="1">
      <c r="B7" s="5" t="n"/>
      <c r="C7" s="6" t="inlineStr">
        <is>
          <t xml:space="preserve">  Amarillo</t>
        </is>
      </c>
      <c r="E7" s="7" t="inlineStr">
        <is>
          <t>Celdas a COMPLETAR por el equipo. Son los campos de ingreso de datos.</t>
        </is>
      </c>
    </row>
    <row r="8" ht="22" customHeight="1">
      <c r="B8" s="8" t="n"/>
      <c r="C8" s="9" t="inlineStr">
        <is>
          <t xml:space="preserve">  Azul claro</t>
        </is>
      </c>
      <c r="E8" s="7" t="inlineStr">
        <is>
          <t>Celdas calculadas AUTOMÁTICAMENTE. No editar.</t>
        </is>
      </c>
    </row>
    <row r="9" ht="22" customHeight="1">
      <c r="B9" s="10" t="n"/>
      <c r="C9" s="11" t="inlineStr">
        <is>
          <t xml:space="preserve">  Verde claro</t>
        </is>
      </c>
      <c r="E9" s="7" t="inlineStr">
        <is>
          <t>Metas y objetivos del mes. Solo lectura.</t>
        </is>
      </c>
    </row>
    <row r="10" ht="22" customHeight="1">
      <c r="B10" s="12" t="n"/>
      <c r="C10" s="13" t="inlineStr">
        <is>
          <t xml:space="preserve">  Gris azulado</t>
        </is>
      </c>
      <c r="E10" s="7" t="inlineStr">
        <is>
          <t>Encabezados de sección. No editar.</t>
        </is>
      </c>
    </row>
    <row r="11" ht="16" customHeight="1"/>
    <row r="12" ht="20" customHeight="1">
      <c r="B12" s="3" t="inlineStr">
        <is>
          <t>CÓMO USAR ESTA PLANILLA</t>
        </is>
      </c>
      <c r="C12" s="4" t="n"/>
      <c r="D12" s="4" t="n"/>
      <c r="E12" s="4" t="n"/>
      <c r="F12" s="4" t="n"/>
    </row>
    <row r="13" ht="8" customHeight="1"/>
    <row r="14" ht="24" customHeight="1">
      <c r="B14" s="14" t="inlineStr">
        <is>
          <t xml:space="preserve">  Paso 1 — Inicio de mes</t>
        </is>
      </c>
      <c r="C14" s="15" t="inlineStr">
        <is>
          <t xml:space="preserve">  Completar la hoja METAS con el presupuesto y KPIs proyectados para el mes.</t>
        </is>
      </c>
    </row>
    <row r="15" ht="24" customHeight="1">
      <c r="B15" s="14" t="inlineStr">
        <is>
          <t xml:space="preserve">  Paso 2 — Cada lunes (o viernes)</t>
        </is>
      </c>
      <c r="C15" s="15" t="inlineStr">
        <is>
          <t xml:space="preserve">  Completar los datos de la semana anterior en PERFORMANCE, AUDIENCIAS y GA4.</t>
        </is>
      </c>
    </row>
    <row r="16" ht="24" customHeight="1">
      <c r="B16" s="14" t="inlineStr">
        <is>
          <t xml:space="preserve">  Paso 3 — Agregar nueva fila</t>
        </is>
      </c>
      <c r="C16" s="15" t="inlineStr">
        <is>
          <t xml:space="preserve">  Copiar la última fila de datos y pegar debajo. Actualizar semana y período.</t>
        </is>
      </c>
    </row>
    <row r="17" ht="24" customHeight="1">
      <c r="B17" s="14" t="inlineStr">
        <is>
          <t xml:space="preserve">  Paso 4 — No borrar filas</t>
        </is>
      </c>
      <c r="C17" s="15" t="inlineStr">
        <is>
          <t xml:space="preserve">  El historial es importante. Solo agregar, nunca eliminar filas con datos.</t>
        </is>
      </c>
    </row>
    <row r="18" ht="24" customHeight="1">
      <c r="B18" s="14" t="inlineStr">
        <is>
          <t xml:space="preserve">  Paso 5 — Celdas azules</t>
        </is>
      </c>
      <c r="C18" s="15" t="inlineStr">
        <is>
          <t xml:space="preserve">  Son cálculos automáticos. Si modificas datos, estas celdas se actualizan solas.</t>
        </is>
      </c>
    </row>
    <row r="19" ht="16" customHeight="1"/>
    <row r="20" ht="20" customHeight="1">
      <c r="B20" s="3" t="inlineStr">
        <is>
          <t>GLOSARIO DE MÉTRICAS</t>
        </is>
      </c>
      <c r="C20" s="4" t="n"/>
      <c r="D20" s="4" t="n"/>
      <c r="E20" s="4" t="n"/>
      <c r="F20" s="4" t="n"/>
    </row>
    <row r="21" ht="8" customHeight="1"/>
    <row r="22" ht="20" customHeight="1">
      <c r="B22" s="16" t="inlineStr">
        <is>
          <t>Métrica</t>
        </is>
      </c>
      <c r="C22" s="16" t="inlineStr">
        <is>
          <t>Definición</t>
        </is>
      </c>
      <c r="E22" s="16" t="inlineStr">
        <is>
          <t>Métrica</t>
        </is>
      </c>
      <c r="F22" s="16" t="inlineStr">
        <is>
          <t>Definición</t>
        </is>
      </c>
    </row>
    <row r="23" ht="20" customHeight="1">
      <c r="B23" s="17" t="inlineStr">
        <is>
          <t>Impresiones</t>
        </is>
      </c>
      <c r="C23" s="18" t="inlineStr">
        <is>
          <t>Nº de veces que el anuncio fue mostrado</t>
        </is>
      </c>
      <c r="E23" s="17" t="inlineStr">
        <is>
          <t>Alcance</t>
        </is>
      </c>
      <c r="F23" s="18" t="inlineStr">
        <is>
          <t>Nº de personas únicas que vieron el anuncio</t>
        </is>
      </c>
    </row>
    <row r="24" ht="20" customHeight="1">
      <c r="B24" s="19" t="inlineStr">
        <is>
          <t>Clics</t>
        </is>
      </c>
      <c r="C24" s="20" t="inlineStr">
        <is>
          <t>Nº de veces que hicieron clic en el aviso</t>
        </is>
      </c>
      <c r="E24" s="19" t="inlineStr">
        <is>
          <t>Sesiones</t>
        </is>
      </c>
      <c r="F24" s="20" t="inlineStr">
        <is>
          <t>Visitas al landing page del producto</t>
        </is>
      </c>
    </row>
    <row r="25" ht="20" customHeight="1">
      <c r="B25" s="17" t="inlineStr">
        <is>
          <t>CPM</t>
        </is>
      </c>
      <c r="C25" s="18" t="inlineStr">
        <is>
          <t>Costo por cada 1.000 impresiones</t>
        </is>
      </c>
      <c r="E25" s="17" t="inlineStr">
        <is>
          <t>CPC</t>
        </is>
      </c>
      <c r="F25" s="18" t="inlineStr">
        <is>
          <t>Costo por cada clic obtenido</t>
        </is>
      </c>
    </row>
    <row r="26" ht="20" customHeight="1">
      <c r="B26" s="19" t="inlineStr">
        <is>
          <t>CPV</t>
        </is>
      </c>
      <c r="C26" s="20" t="inlineStr">
        <is>
          <t>Costo por cada reproducción de video</t>
        </is>
      </c>
      <c r="E26" s="19" t="inlineStr">
        <is>
          <t>CPA</t>
        </is>
      </c>
      <c r="F26" s="20" t="inlineStr">
        <is>
          <t>Costo por cada acción/conversión lograda</t>
        </is>
      </c>
    </row>
    <row r="27" ht="20" customHeight="1">
      <c r="B27" s="17" t="inlineStr">
        <is>
          <t>Frecuencia</t>
        </is>
      </c>
      <c r="C27" s="18" t="inlineStr">
        <is>
          <t>Promedio de veces que un usuario vio el ad</t>
        </is>
      </c>
      <c r="E27" s="17" t="inlineStr">
        <is>
          <t>Registros</t>
        </is>
      </c>
      <c r="F27" s="18" t="inlineStr">
        <is>
          <t>Leads capturados directamente en plataforma</t>
        </is>
      </c>
    </row>
    <row r="28" ht="20" customHeight="1">
      <c r="B28" s="19" t="inlineStr">
        <is>
          <t>Presupuesto</t>
        </is>
      </c>
      <c r="C28" s="20" t="inlineStr">
        <is>
          <t>Inversión total ejecutada en el período</t>
        </is>
      </c>
      <c r="E28" s="19" t="inlineStr">
        <is>
          <t>Duración media</t>
        </is>
      </c>
      <c r="F28" s="20" t="inlineStr">
        <is>
          <t>Tiempo promedio de sesión en el sitio</t>
        </is>
      </c>
    </row>
    <row r="29" ht="20" customHeight="1">
      <c r="B29" s="17" t="inlineStr">
        <is>
          <t>Views</t>
        </is>
      </c>
      <c r="C29" s="18" t="inlineStr">
        <is>
          <t>Reproducciones de video (LinkedIn/Meta)</t>
        </is>
      </c>
      <c r="E29" s="17" t="inlineStr">
        <is>
          <t>CTR</t>
        </is>
      </c>
      <c r="F29" s="18" t="inlineStr">
        <is>
          <t>Click-Through Rate: Clics / Impresiones</t>
        </is>
      </c>
    </row>
    <row r="30" ht="16" customHeight="1"/>
    <row r="31">
      <c r="B31" s="21" t="inlineStr">
        <is>
          <t>BTG Pactual Chile · MKT &amp; Comunicaciones · Campaña ETF Genérico · Mes 1</t>
        </is>
      </c>
    </row>
  </sheetData>
  <mergeCells count="20">
    <mergeCell ref="C17:F17"/>
    <mergeCell ref="B15"/>
    <mergeCell ref="B3:F3"/>
    <mergeCell ref="B31:F31"/>
    <mergeCell ref="E8:F8"/>
    <mergeCell ref="C18:F18"/>
    <mergeCell ref="B12:F12"/>
    <mergeCell ref="B2:F2"/>
    <mergeCell ref="E10:F10"/>
    <mergeCell ref="B16"/>
    <mergeCell ref="C15:F15"/>
    <mergeCell ref="E9:F9"/>
    <mergeCell ref="C14:F14"/>
    <mergeCell ref="B18"/>
    <mergeCell ref="C16:F16"/>
    <mergeCell ref="B14"/>
    <mergeCell ref="B17"/>
    <mergeCell ref="E7:F7"/>
    <mergeCell ref="B20:F20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B2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3" customWidth="1" min="11" max="11"/>
  </cols>
  <sheetData>
    <row r="1" ht="8" customHeight="1"/>
    <row r="2" ht="36" customHeight="1">
      <c r="B2" s="22" t="inlineStr">
        <is>
          <t>METAS MENSUALES  ·  BTG ETF Genérico</t>
        </is>
      </c>
    </row>
    <row r="3" ht="8" customHeight="1"/>
    <row r="4" ht="20" customHeight="1">
      <c r="B4" s="23" t="inlineStr">
        <is>
          <t xml:space="preserve">  Completar al inicio de cada mes. Estas metas son referenciadas automáticamente por las hojas GA4 y PERFORMANCE.</t>
        </is>
      </c>
    </row>
    <row r="5" ht="8" customHeight="1"/>
    <row r="6" ht="40" customHeight="1">
      <c r="B6" s="24" t="inlineStr">
        <is>
          <t>Mes</t>
        </is>
      </c>
      <c r="C6" s="24" t="inlineStr">
        <is>
          <t>Campaña</t>
        </is>
      </c>
      <c r="D6" s="24" t="inlineStr">
        <is>
          <t>Presupuesto
Total ($)</t>
        </is>
      </c>
      <c r="E6" s="24" t="inlineStr">
        <is>
          <t>Meta
Impresiones</t>
        </is>
      </c>
      <c r="F6" s="24" t="inlineStr">
        <is>
          <t>Meta
Alcance</t>
        </is>
      </c>
      <c r="G6" s="24" t="inlineStr">
        <is>
          <t>Meta
Sesiones
Landing</t>
        </is>
      </c>
      <c r="H6" s="24" t="inlineStr">
        <is>
          <t>Meta
Frec/
Persona</t>
        </is>
      </c>
      <c r="I6" s="24" t="inlineStr">
        <is>
          <t>Meta
CPM ($)</t>
        </is>
      </c>
      <c r="J6" s="24" t="inlineStr">
        <is>
          <t>Meta
CPC ($)</t>
        </is>
      </c>
    </row>
    <row r="7" ht="24" customHeight="1">
      <c r="B7" s="25" t="inlineStr">
        <is>
          <t>Marzo 2025</t>
        </is>
      </c>
      <c r="C7" s="25" t="inlineStr">
        <is>
          <t>BTG ETF Genérico</t>
        </is>
      </c>
      <c r="D7" s="26" t="n">
        <v>2550000</v>
      </c>
      <c r="E7" s="27" t="n">
        <v>5000000</v>
      </c>
      <c r="F7" s="27" t="n">
        <v>1800000</v>
      </c>
      <c r="G7" s="27" t="n">
        <v>11000</v>
      </c>
      <c r="H7" s="28" t="n">
        <v>2.7</v>
      </c>
      <c r="I7" s="29" t="n"/>
      <c r="J7" s="29" t="n"/>
    </row>
    <row r="8" ht="24" customHeight="1"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</row>
    <row r="9" ht="24" customHeight="1"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</row>
    <row r="10" ht="24" customHeight="1"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</row>
    <row r="11" ht="24" customHeight="1"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</row>
  </sheetData>
  <mergeCells count="2">
    <mergeCell ref="B4:J4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877F2"/>
    <outlinePr summaryBelow="1" summaryRight="1"/>
    <pageSetUpPr/>
  </sheetPr>
  <dimension ref="B2:AD16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6" customWidth="1" min="3" max="3"/>
    <col width="14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1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1" customWidth="1" min="21" max="21"/>
    <col width="11" customWidth="1" min="22" max="22"/>
    <col width="8" customWidth="1" min="23" max="23"/>
    <col width="8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8" customWidth="1" min="30" max="30"/>
    <col width="3" customWidth="1" min="31" max="31"/>
  </cols>
  <sheetData>
    <row r="1" ht="8" customHeight="1"/>
    <row r="2" ht="36" customHeight="1">
      <c r="B2" s="22" t="inlineStr">
        <is>
          <t>PERFORMANCE SEMANAL POR PLATAFORMA  ·  BTG ETF Genérico</t>
        </is>
      </c>
    </row>
    <row r="3" ht="8" customHeight="1"/>
    <row r="4" ht="20" customHeight="1">
      <c r="B4" s="31" t="inlineStr">
        <is>
          <t xml:space="preserve">  🟡 Celdas amarillas = completar   🔵 Celdas azules = calculado automáticamente   ·   Agregar una fila nueva cada semana</t>
        </is>
      </c>
    </row>
    <row r="5" ht="8" customHeight="1"/>
    <row r="6" ht="22" customHeight="1">
      <c r="B6" s="16" t="inlineStr">
        <is>
          <t>IDENTIFICACIÓN</t>
        </is>
      </c>
      <c r="C6" s="32" t="n"/>
      <c r="D6" s="32" t="n"/>
      <c r="E6" s="33" t="inlineStr">
        <is>
          <t>META PLATFORM</t>
        </is>
      </c>
      <c r="F6" s="32" t="n"/>
      <c r="G6" s="32" t="n"/>
      <c r="H6" s="32" t="n"/>
      <c r="I6" s="32" t="n"/>
      <c r="J6" s="32" t="n"/>
      <c r="K6" s="32" t="n"/>
      <c r="L6" s="34" t="inlineStr">
        <is>
          <t>LINKEDIN</t>
        </is>
      </c>
      <c r="M6" s="32" t="n"/>
      <c r="N6" s="32" t="n"/>
      <c r="O6" s="32" t="n"/>
      <c r="P6" s="32" t="n"/>
      <c r="Q6" s="32" t="n"/>
      <c r="R6" s="32" t="n"/>
      <c r="S6" s="32" t="n"/>
      <c r="T6" s="32" t="n"/>
      <c r="U6" s="35" t="inlineStr">
        <is>
          <t>GOOGLE SEARCH</t>
        </is>
      </c>
      <c r="V6" s="32" t="n"/>
      <c r="W6" s="32" t="n"/>
      <c r="X6" s="32" t="n"/>
      <c r="Y6" s="36" t="inlineStr">
        <is>
          <t>TOTALES</t>
        </is>
      </c>
      <c r="Z6" s="32" t="n"/>
      <c r="AA6" s="32" t="n"/>
      <c r="AB6" s="32" t="n"/>
      <c r="AC6" s="32" t="n"/>
      <c r="AD6" s="32" t="n"/>
    </row>
    <row r="7" ht="44" customHeight="1">
      <c r="B7" s="24" t="inlineStr">
        <is>
          <t>Sem.</t>
        </is>
      </c>
      <c r="C7" s="24" t="inlineStr">
        <is>
          <t>Período</t>
        </is>
      </c>
      <c r="D7" s="24" t="inlineStr">
        <is>
          <t>Resp.</t>
        </is>
      </c>
      <c r="E7" s="24" t="inlineStr">
        <is>
          <t>Inversión
($)</t>
        </is>
      </c>
      <c r="F7" s="24" t="inlineStr">
        <is>
          <t>Alcance</t>
        </is>
      </c>
      <c r="G7" s="24" t="inlineStr">
        <is>
          <t>Impresiones</t>
        </is>
      </c>
      <c r="H7" s="24" t="inlineStr">
        <is>
          <t>Clics</t>
        </is>
      </c>
      <c r="I7" s="24" t="inlineStr">
        <is>
          <t>Views</t>
        </is>
      </c>
      <c r="J7" s="24" t="inlineStr">
        <is>
          <t>CPM
($)</t>
        </is>
      </c>
      <c r="K7" s="24" t="inlineStr">
        <is>
          <t>CPC
($)</t>
        </is>
      </c>
      <c r="L7" s="24" t="inlineStr">
        <is>
          <t>Inversión
($)</t>
        </is>
      </c>
      <c r="M7" s="24" t="inlineStr">
        <is>
          <t>Alcance</t>
        </is>
      </c>
      <c r="N7" s="24" t="inlineStr">
        <is>
          <t>Impresiones</t>
        </is>
      </c>
      <c r="O7" s="24" t="inlineStr">
        <is>
          <t>Clics</t>
        </is>
      </c>
      <c r="P7" s="24" t="inlineStr">
        <is>
          <t>Views</t>
        </is>
      </c>
      <c r="Q7" s="24" t="inlineStr">
        <is>
          <t>Registros</t>
        </is>
      </c>
      <c r="R7" s="24" t="inlineStr">
        <is>
          <t>CPM
($)</t>
        </is>
      </c>
      <c r="S7" s="24" t="inlineStr">
        <is>
          <t>CPC
($)</t>
        </is>
      </c>
      <c r="T7" s="24" t="inlineStr">
        <is>
          <t>CPV
($)</t>
        </is>
      </c>
      <c r="U7" s="24" t="inlineStr">
        <is>
          <t>Inversión
($)</t>
        </is>
      </c>
      <c r="V7" s="24" t="inlineStr">
        <is>
          <t>Impresiones</t>
        </is>
      </c>
      <c r="W7" s="24" t="inlineStr">
        <is>
          <t>Clics</t>
        </is>
      </c>
      <c r="X7" s="24" t="inlineStr">
        <is>
          <t>CPC
($)</t>
        </is>
      </c>
      <c r="Y7" s="24" t="inlineStr">
        <is>
          <t>Inv. Total
($)</t>
        </is>
      </c>
      <c r="Z7" s="24" t="inlineStr">
        <is>
          <t>Alcance
Total</t>
        </is>
      </c>
      <c r="AA7" s="24" t="inlineStr">
        <is>
          <t>Impres.
Total</t>
        </is>
      </c>
      <c r="AB7" s="24" t="inlineStr">
        <is>
          <t>Clics
Total</t>
        </is>
      </c>
      <c r="AC7" s="24" t="inlineStr">
        <is>
          <t>CPM
Prom ($)</t>
        </is>
      </c>
      <c r="AD7" s="24" t="inlineStr">
        <is>
          <t>CPC
Prom ($)</t>
        </is>
      </c>
    </row>
    <row r="8" ht="24" customHeight="1">
      <c r="B8" s="37" t="inlineStr">
        <is>
          <t>S1</t>
        </is>
      </c>
      <c r="C8" s="37" t="inlineStr">
        <is>
          <t>23-29 Mar</t>
        </is>
      </c>
      <c r="D8" s="37" t="inlineStr">
        <is>
          <t>AP</t>
        </is>
      </c>
      <c r="E8" s="38" t="n">
        <v>72628</v>
      </c>
      <c r="F8" s="39" t="n">
        <v>272287</v>
      </c>
      <c r="G8" s="39" t="n">
        <v>337823</v>
      </c>
      <c r="H8" s="39" t="n">
        <v>405</v>
      </c>
      <c r="I8" s="39" t="n">
        <v>199</v>
      </c>
      <c r="J8" s="38" t="n">
        <v>215</v>
      </c>
      <c r="K8" s="38" t="n">
        <v>179</v>
      </c>
      <c r="L8" s="38" t="n">
        <v>151214</v>
      </c>
      <c r="M8" s="39" t="n">
        <v>46474</v>
      </c>
      <c r="N8" s="39" t="n">
        <v>129158</v>
      </c>
      <c r="O8" s="39" t="n">
        <v>109</v>
      </c>
      <c r="P8" s="39" t="n">
        <v>12976</v>
      </c>
      <c r="Q8" s="39" t="n">
        <v>1</v>
      </c>
      <c r="R8" s="38" t="n">
        <v>1171</v>
      </c>
      <c r="S8" s="38" t="n">
        <v>1387</v>
      </c>
      <c r="T8" s="38" t="n">
        <v>12</v>
      </c>
      <c r="U8" s="38" t="n">
        <v>74682</v>
      </c>
      <c r="V8" s="39" t="n">
        <v>2452</v>
      </c>
      <c r="W8" s="39" t="n">
        <v>116</v>
      </c>
      <c r="X8" s="38" t="n">
        <v>644</v>
      </c>
      <c r="Y8" s="40">
        <f>E8+L8+U8</f>
        <v/>
      </c>
      <c r="Z8" s="41">
        <f>F8+M8</f>
        <v/>
      </c>
      <c r="AA8" s="41">
        <f>G8+N8+V8</f>
        <v/>
      </c>
      <c r="AB8" s="41">
        <f>H8+O8+W8</f>
        <v/>
      </c>
      <c r="AC8" s="40">
        <f>IF(AA8=0,"-",Y8/AA8*1000)</f>
        <v/>
      </c>
      <c r="AD8" s="40">
        <f>IF(AB8=0,"-",Y8/AB8)</f>
        <v/>
      </c>
    </row>
    <row r="9" ht="24" customHeight="1">
      <c r="B9" s="37" t="n"/>
      <c r="C9" s="37" t="n"/>
      <c r="D9" s="37" t="n"/>
      <c r="E9" s="38" t="n"/>
      <c r="F9" s="39" t="n"/>
      <c r="G9" s="39" t="n"/>
      <c r="H9" s="39" t="n"/>
      <c r="I9" s="39" t="n"/>
      <c r="J9" s="38" t="n"/>
      <c r="K9" s="38" t="n"/>
      <c r="L9" s="38" t="n"/>
      <c r="M9" s="39" t="n"/>
      <c r="N9" s="39" t="n"/>
      <c r="O9" s="39" t="n"/>
      <c r="P9" s="39" t="n"/>
      <c r="Q9" s="39" t="n"/>
      <c r="R9" s="38" t="n"/>
      <c r="S9" s="38" t="n"/>
      <c r="T9" s="38" t="n"/>
      <c r="U9" s="38" t="n"/>
      <c r="V9" s="39" t="n"/>
      <c r="W9" s="39" t="n"/>
      <c r="X9" s="38" t="n"/>
      <c r="Y9" s="40">
        <f>E9+L9+U9</f>
        <v/>
      </c>
      <c r="Z9" s="41">
        <f>F9+M9</f>
        <v/>
      </c>
      <c r="AA9" s="41">
        <f>G9+N9+V9</f>
        <v/>
      </c>
      <c r="AB9" s="41">
        <f>H9+O9+W9</f>
        <v/>
      </c>
      <c r="AC9" s="40">
        <f>IF(AA9=0,"-",Y9/AA9*1000)</f>
        <v/>
      </c>
      <c r="AD9" s="40">
        <f>IF(AB9=0,"-",Y9/AB9)</f>
        <v/>
      </c>
    </row>
    <row r="10" ht="24" customHeight="1">
      <c r="B10" s="37" t="n"/>
      <c r="C10" s="37" t="n"/>
      <c r="D10" s="37" t="n"/>
      <c r="E10" s="38" t="n"/>
      <c r="F10" s="39" t="n"/>
      <c r="G10" s="39" t="n"/>
      <c r="H10" s="39" t="n"/>
      <c r="I10" s="39" t="n"/>
      <c r="J10" s="38" t="n"/>
      <c r="K10" s="38" t="n"/>
      <c r="L10" s="38" t="n"/>
      <c r="M10" s="39" t="n"/>
      <c r="N10" s="39" t="n"/>
      <c r="O10" s="39" t="n"/>
      <c r="P10" s="39" t="n"/>
      <c r="Q10" s="39" t="n"/>
      <c r="R10" s="38" t="n"/>
      <c r="S10" s="38" t="n"/>
      <c r="T10" s="38" t="n"/>
      <c r="U10" s="38" t="n"/>
      <c r="V10" s="39" t="n"/>
      <c r="W10" s="39" t="n"/>
      <c r="X10" s="38" t="n"/>
      <c r="Y10" s="40">
        <f>E10+L10+U10</f>
        <v/>
      </c>
      <c r="Z10" s="41">
        <f>F10+M10</f>
        <v/>
      </c>
      <c r="AA10" s="41">
        <f>G10+N10+V10</f>
        <v/>
      </c>
      <c r="AB10" s="41">
        <f>H10+O10+W10</f>
        <v/>
      </c>
      <c r="AC10" s="40">
        <f>IF(AA10=0,"-",Y10/AA10*1000)</f>
        <v/>
      </c>
      <c r="AD10" s="40">
        <f>IF(AB10=0,"-",Y10/AB10)</f>
        <v/>
      </c>
    </row>
    <row r="11" ht="24" customHeight="1">
      <c r="B11" s="37" t="n"/>
      <c r="C11" s="37" t="n"/>
      <c r="D11" s="37" t="n"/>
      <c r="E11" s="38" t="n"/>
      <c r="F11" s="39" t="n"/>
      <c r="G11" s="39" t="n"/>
      <c r="H11" s="39" t="n"/>
      <c r="I11" s="39" t="n"/>
      <c r="J11" s="38" t="n"/>
      <c r="K11" s="38" t="n"/>
      <c r="L11" s="38" t="n"/>
      <c r="M11" s="39" t="n"/>
      <c r="N11" s="39" t="n"/>
      <c r="O11" s="39" t="n"/>
      <c r="P11" s="39" t="n"/>
      <c r="Q11" s="39" t="n"/>
      <c r="R11" s="38" t="n"/>
      <c r="S11" s="38" t="n"/>
      <c r="T11" s="38" t="n"/>
      <c r="U11" s="38" t="n"/>
      <c r="V11" s="39" t="n"/>
      <c r="W11" s="39" t="n"/>
      <c r="X11" s="38" t="n"/>
      <c r="Y11" s="40">
        <f>E11+L11+U11</f>
        <v/>
      </c>
      <c r="Z11" s="41">
        <f>F11+M11</f>
        <v/>
      </c>
      <c r="AA11" s="41">
        <f>G11+N11+V11</f>
        <v/>
      </c>
      <c r="AB11" s="41">
        <f>H11+O11+W11</f>
        <v/>
      </c>
      <c r="AC11" s="40">
        <f>IF(AA11=0,"-",Y11/AA11*1000)</f>
        <v/>
      </c>
      <c r="AD11" s="40">
        <f>IF(AB11=0,"-",Y11/AB11)</f>
        <v/>
      </c>
    </row>
    <row r="12" ht="24" customHeight="1">
      <c r="B12" s="37" t="n"/>
      <c r="C12" s="37" t="n"/>
      <c r="D12" s="37" t="n"/>
      <c r="E12" s="38" t="n"/>
      <c r="F12" s="39" t="n"/>
      <c r="G12" s="39" t="n"/>
      <c r="H12" s="39" t="n"/>
      <c r="I12" s="39" t="n"/>
      <c r="J12" s="38" t="n"/>
      <c r="K12" s="38" t="n"/>
      <c r="L12" s="38" t="n"/>
      <c r="M12" s="39" t="n"/>
      <c r="N12" s="39" t="n"/>
      <c r="O12" s="39" t="n"/>
      <c r="P12" s="39" t="n"/>
      <c r="Q12" s="39" t="n"/>
      <c r="R12" s="38" t="n"/>
      <c r="S12" s="38" t="n"/>
      <c r="T12" s="38" t="n"/>
      <c r="U12" s="38" t="n"/>
      <c r="V12" s="39" t="n"/>
      <c r="W12" s="39" t="n"/>
      <c r="X12" s="38" t="n"/>
      <c r="Y12" s="40">
        <f>E12+L12+U12</f>
        <v/>
      </c>
      <c r="Z12" s="41">
        <f>F12+M12</f>
        <v/>
      </c>
      <c r="AA12" s="41">
        <f>G12+N12+V12</f>
        <v/>
      </c>
      <c r="AB12" s="41">
        <f>H12+O12+W12</f>
        <v/>
      </c>
      <c r="AC12" s="40">
        <f>IF(AA12=0,"-",Y12/AA12*1000)</f>
        <v/>
      </c>
      <c r="AD12" s="40">
        <f>IF(AB12=0,"-",Y12/AB12)</f>
        <v/>
      </c>
    </row>
    <row r="13" ht="24" customHeight="1">
      <c r="B13" s="37" t="n"/>
      <c r="C13" s="37" t="n"/>
      <c r="D13" s="37" t="n"/>
      <c r="E13" s="38" t="n"/>
      <c r="F13" s="39" t="n"/>
      <c r="G13" s="39" t="n"/>
      <c r="H13" s="39" t="n"/>
      <c r="I13" s="39" t="n"/>
      <c r="J13" s="38" t="n"/>
      <c r="K13" s="38" t="n"/>
      <c r="L13" s="38" t="n"/>
      <c r="M13" s="39" t="n"/>
      <c r="N13" s="39" t="n"/>
      <c r="O13" s="39" t="n"/>
      <c r="P13" s="39" t="n"/>
      <c r="Q13" s="39" t="n"/>
      <c r="R13" s="38" t="n"/>
      <c r="S13" s="38" t="n"/>
      <c r="T13" s="38" t="n"/>
      <c r="U13" s="38" t="n"/>
      <c r="V13" s="39" t="n"/>
      <c r="W13" s="39" t="n"/>
      <c r="X13" s="38" t="n"/>
      <c r="Y13" s="40">
        <f>E13+L13+U13</f>
        <v/>
      </c>
      <c r="Z13" s="41">
        <f>F13+M13</f>
        <v/>
      </c>
      <c r="AA13" s="41">
        <f>G13+N13+V13</f>
        <v/>
      </c>
      <c r="AB13" s="41">
        <f>H13+O13+W13</f>
        <v/>
      </c>
      <c r="AC13" s="40">
        <f>IF(AA13=0,"-",Y13/AA13*1000)</f>
        <v/>
      </c>
      <c r="AD13" s="40">
        <f>IF(AB13=0,"-",Y13/AB13)</f>
        <v/>
      </c>
    </row>
    <row r="14" ht="24" customHeight="1">
      <c r="B14" s="37" t="n"/>
      <c r="C14" s="37" t="n"/>
      <c r="D14" s="37" t="n"/>
      <c r="E14" s="38" t="n"/>
      <c r="F14" s="39" t="n"/>
      <c r="G14" s="39" t="n"/>
      <c r="H14" s="39" t="n"/>
      <c r="I14" s="39" t="n"/>
      <c r="J14" s="38" t="n"/>
      <c r="K14" s="38" t="n"/>
      <c r="L14" s="38" t="n"/>
      <c r="M14" s="39" t="n"/>
      <c r="N14" s="39" t="n"/>
      <c r="O14" s="39" t="n"/>
      <c r="P14" s="39" t="n"/>
      <c r="Q14" s="39" t="n"/>
      <c r="R14" s="38" t="n"/>
      <c r="S14" s="38" t="n"/>
      <c r="T14" s="38" t="n"/>
      <c r="U14" s="38" t="n"/>
      <c r="V14" s="39" t="n"/>
      <c r="W14" s="39" t="n"/>
      <c r="X14" s="38" t="n"/>
      <c r="Y14" s="40">
        <f>E14+L14+U14</f>
        <v/>
      </c>
      <c r="Z14" s="41">
        <f>F14+M14</f>
        <v/>
      </c>
      <c r="AA14" s="41">
        <f>G14+N14+V14</f>
        <v/>
      </c>
      <c r="AB14" s="41">
        <f>H14+O14+W14</f>
        <v/>
      </c>
      <c r="AC14" s="40">
        <f>IF(AA14=0,"-",Y14/AA14*1000)</f>
        <v/>
      </c>
      <c r="AD14" s="40">
        <f>IF(AB14=0,"-",Y14/AB14)</f>
        <v/>
      </c>
    </row>
    <row r="15" ht="24" customHeight="1">
      <c r="B15" s="37" t="n"/>
      <c r="C15" s="37" t="n"/>
      <c r="D15" s="37" t="n"/>
      <c r="E15" s="38" t="n"/>
      <c r="F15" s="39" t="n"/>
      <c r="G15" s="39" t="n"/>
      <c r="H15" s="39" t="n"/>
      <c r="I15" s="39" t="n"/>
      <c r="J15" s="38" t="n"/>
      <c r="K15" s="38" t="n"/>
      <c r="L15" s="38" t="n"/>
      <c r="M15" s="39" t="n"/>
      <c r="N15" s="39" t="n"/>
      <c r="O15" s="39" t="n"/>
      <c r="P15" s="39" t="n"/>
      <c r="Q15" s="39" t="n"/>
      <c r="R15" s="38" t="n"/>
      <c r="S15" s="38" t="n"/>
      <c r="T15" s="38" t="n"/>
      <c r="U15" s="38" t="n"/>
      <c r="V15" s="39" t="n"/>
      <c r="W15" s="39" t="n"/>
      <c r="X15" s="38" t="n"/>
      <c r="Y15" s="40">
        <f>E15+L15+U15</f>
        <v/>
      </c>
      <c r="Z15" s="41">
        <f>F15+M15</f>
        <v/>
      </c>
      <c r="AA15" s="41">
        <f>G15+N15+V15</f>
        <v/>
      </c>
      <c r="AB15" s="41">
        <f>H15+O15+W15</f>
        <v/>
      </c>
      <c r="AC15" s="40">
        <f>IF(AA15=0,"-",Y15/AA15*1000)</f>
        <v/>
      </c>
      <c r="AD15" s="40">
        <f>IF(AB15=0,"-",Y15/AB15)</f>
        <v/>
      </c>
    </row>
    <row r="16" ht="24" customHeight="1">
      <c r="B16" s="37" t="n"/>
      <c r="C16" s="37" t="n"/>
      <c r="D16" s="37" t="n"/>
      <c r="E16" s="38" t="n"/>
      <c r="F16" s="39" t="n"/>
      <c r="G16" s="39" t="n"/>
      <c r="H16" s="39" t="n"/>
      <c r="I16" s="39" t="n"/>
      <c r="J16" s="38" t="n"/>
      <c r="K16" s="38" t="n"/>
      <c r="L16" s="38" t="n"/>
      <c r="M16" s="39" t="n"/>
      <c r="N16" s="39" t="n"/>
      <c r="O16" s="39" t="n"/>
      <c r="P16" s="39" t="n"/>
      <c r="Q16" s="39" t="n"/>
      <c r="R16" s="38" t="n"/>
      <c r="S16" s="38" t="n"/>
      <c r="T16" s="38" t="n"/>
      <c r="U16" s="38" t="n"/>
      <c r="V16" s="39" t="n"/>
      <c r="W16" s="39" t="n"/>
      <c r="X16" s="38" t="n"/>
      <c r="Y16" s="40">
        <f>E16+L16+U16</f>
        <v/>
      </c>
      <c r="Z16" s="41">
        <f>F16+M16</f>
        <v/>
      </c>
      <c r="AA16" s="41">
        <f>G16+N16+V16</f>
        <v/>
      </c>
      <c r="AB16" s="41">
        <f>H16+O16+W16</f>
        <v/>
      </c>
      <c r="AC16" s="40">
        <f>IF(AA16=0,"-",Y16/AA16*1000)</f>
        <v/>
      </c>
      <c r="AD16" s="40">
        <f>IF(AB16=0,"-",Y16/AB16)</f>
        <v/>
      </c>
    </row>
  </sheetData>
  <mergeCells count="7">
    <mergeCell ref="L6:T6"/>
    <mergeCell ref="Y6:AD6"/>
    <mergeCell ref="U6:X6"/>
    <mergeCell ref="B4:AD4"/>
    <mergeCell ref="E6:K6"/>
    <mergeCell ref="B2:AD2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66C2"/>
    <outlinePr summaryBelow="1" summaryRight="1"/>
    <pageSetUpPr/>
  </sheetPr>
  <dimension ref="B2:AG1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6" customWidth="1" min="3" max="3"/>
    <col width="10" customWidth="1" min="4" max="4"/>
    <col width="11" customWidth="1" min="5" max="5"/>
    <col width="9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9" customWidth="1" min="12" max="12"/>
    <col width="8" customWidth="1" min="13" max="13"/>
    <col width="8" customWidth="1" min="14" max="14"/>
    <col width="8" customWidth="1" min="15" max="15"/>
    <col width="10" customWidth="1" min="16" max="16"/>
    <col width="11" customWidth="1" min="17" max="17"/>
    <col width="9" customWidth="1" min="18" max="18"/>
    <col width="8" customWidth="1" min="19" max="19"/>
    <col width="8" customWidth="1" min="20" max="20"/>
    <col width="8" customWidth="1" min="21" max="21"/>
    <col width="10" customWidth="1" min="22" max="22"/>
    <col width="11" customWidth="1" min="23" max="23"/>
    <col width="9" customWidth="1" min="24" max="24"/>
    <col width="8" customWidth="1" min="25" max="25"/>
    <col width="8" customWidth="1" min="26" max="26"/>
    <col width="8" customWidth="1" min="27" max="27"/>
    <col width="10" customWidth="1" min="28" max="28"/>
    <col width="11" customWidth="1" min="29" max="29"/>
    <col width="9" customWidth="1" min="30" max="30"/>
    <col width="8" customWidth="1" min="31" max="31"/>
    <col width="8" customWidth="1" min="32" max="32"/>
    <col width="8" customWidth="1" min="33" max="33"/>
    <col width="3" customWidth="1" min="34" max="34"/>
  </cols>
  <sheetData>
    <row r="1" ht="8" customHeight="1"/>
    <row r="2" ht="36" customHeight="1">
      <c r="B2" s="22" t="inlineStr">
        <is>
          <t>AUDIENCIAS SEMANAL  ·  BTG ETF Genérico</t>
        </is>
      </c>
    </row>
    <row r="3" ht="8" customHeight="1"/>
    <row r="4" ht="20" customHeight="1">
      <c r="B4" s="31" t="inlineStr">
        <is>
          <t xml:space="preserve">  🟡 Celdas amarillas = completar   ·   Fuente: LinkedIn Campaign Manager (audiencias LinkedIn) y Meta Ads Manager (audiencias Meta)</t>
        </is>
      </c>
    </row>
    <row r="5" ht="8" customHeight="1"/>
    <row r="6" ht="22" customHeight="1">
      <c r="B6" s="16" t="inlineStr">
        <is>
          <t>ID</t>
        </is>
      </c>
      <c r="C6" s="32" t="n"/>
      <c r="D6" s="34" t="inlineStr">
        <is>
          <t>BANCA PRIVADA</t>
        </is>
      </c>
      <c r="E6" s="32" t="n"/>
      <c r="F6" s="32" t="n"/>
      <c r="G6" s="32" t="n"/>
      <c r="H6" s="32" t="n"/>
      <c r="I6" s="32" t="n"/>
      <c r="J6" s="16" t="inlineStr">
        <is>
          <t>ALTOS CARGOS</t>
        </is>
      </c>
      <c r="K6" s="32" t="n"/>
      <c r="L6" s="32" t="n"/>
      <c r="M6" s="32" t="n"/>
      <c r="N6" s="32" t="n"/>
      <c r="O6" s="32" t="n"/>
      <c r="P6" s="42" t="inlineStr">
        <is>
          <t>ASSET MANAGEMENT</t>
        </is>
      </c>
      <c r="Q6" s="32" t="n"/>
      <c r="R6" s="32" t="n"/>
      <c r="S6" s="32" t="n"/>
      <c r="T6" s="32" t="n"/>
      <c r="U6" s="32" t="n"/>
      <c r="V6" s="33" t="inlineStr">
        <is>
          <t>INVERSIONISTAS RETAIL</t>
        </is>
      </c>
      <c r="W6" s="32" t="n"/>
      <c r="X6" s="32" t="n"/>
      <c r="Y6" s="32" t="n"/>
      <c r="Z6" s="32" t="n"/>
      <c r="AA6" s="32" t="n"/>
      <c r="AB6" s="43" t="inlineStr">
        <is>
          <t>INTERÉS ETF</t>
        </is>
      </c>
      <c r="AC6" s="32" t="n"/>
      <c r="AD6" s="32" t="n"/>
      <c r="AE6" s="32" t="n"/>
      <c r="AF6" s="32" t="n"/>
      <c r="AG6" s="32" t="n"/>
    </row>
    <row r="7" ht="44" customHeight="1">
      <c r="B7" s="24" t="inlineStr">
        <is>
          <t>Sem.</t>
        </is>
      </c>
      <c r="C7" s="24" t="inlineStr">
        <is>
          <t>Período</t>
        </is>
      </c>
      <c r="D7" s="24" t="inlineStr">
        <is>
          <t>Alcance</t>
        </is>
      </c>
      <c r="E7" s="24" t="inlineStr">
        <is>
          <t>Impresiones</t>
        </is>
      </c>
      <c r="F7" s="24" t="inlineStr">
        <is>
          <t>CPM ($)</t>
        </is>
      </c>
      <c r="G7" s="24" t="inlineStr">
        <is>
          <t>Frecuencia</t>
        </is>
      </c>
      <c r="H7" s="24" t="inlineStr">
        <is>
          <t>Usuarios
Web</t>
        </is>
      </c>
      <c r="I7" s="24" t="inlineStr">
        <is>
          <t>Sesiones
Web</t>
        </is>
      </c>
      <c r="J7" s="24" t="inlineStr">
        <is>
          <t>Alcance</t>
        </is>
      </c>
      <c r="K7" s="24" t="inlineStr">
        <is>
          <t>Impresiones</t>
        </is>
      </c>
      <c r="L7" s="24" t="inlineStr">
        <is>
          <t>CPM ($)</t>
        </is>
      </c>
      <c r="M7" s="24" t="inlineStr">
        <is>
          <t>Frecuencia</t>
        </is>
      </c>
      <c r="N7" s="24" t="inlineStr">
        <is>
          <t>Usuarios
Web</t>
        </is>
      </c>
      <c r="O7" s="24" t="inlineStr">
        <is>
          <t>Sesiones
Web</t>
        </is>
      </c>
      <c r="P7" s="24" t="inlineStr">
        <is>
          <t>Alcance</t>
        </is>
      </c>
      <c r="Q7" s="24" t="inlineStr">
        <is>
          <t>Impresiones</t>
        </is>
      </c>
      <c r="R7" s="24" t="inlineStr">
        <is>
          <t>CPM ($)</t>
        </is>
      </c>
      <c r="S7" s="24" t="inlineStr">
        <is>
          <t>Frecuencia</t>
        </is>
      </c>
      <c r="T7" s="24" t="inlineStr">
        <is>
          <t>Usuarios
Web</t>
        </is>
      </c>
      <c r="U7" s="24" t="inlineStr">
        <is>
          <t>Sesiones
Web</t>
        </is>
      </c>
      <c r="V7" s="24" t="inlineStr">
        <is>
          <t>Alcance</t>
        </is>
      </c>
      <c r="W7" s="24" t="inlineStr">
        <is>
          <t>Impresiones</t>
        </is>
      </c>
      <c r="X7" s="24" t="inlineStr">
        <is>
          <t>CPM ($)</t>
        </is>
      </c>
      <c r="Y7" s="24" t="inlineStr">
        <is>
          <t>Frecuencia</t>
        </is>
      </c>
      <c r="Z7" s="24" t="inlineStr">
        <is>
          <t>Usuarios
Web</t>
        </is>
      </c>
      <c r="AA7" s="24" t="inlineStr">
        <is>
          <t>Sesiones
Web</t>
        </is>
      </c>
      <c r="AB7" s="24" t="inlineStr">
        <is>
          <t>Alcance</t>
        </is>
      </c>
      <c r="AC7" s="24" t="inlineStr">
        <is>
          <t>Impresiones</t>
        </is>
      </c>
      <c r="AD7" s="24" t="inlineStr">
        <is>
          <t>CPM ($)</t>
        </is>
      </c>
      <c r="AE7" s="24" t="inlineStr">
        <is>
          <t>Frecuencia</t>
        </is>
      </c>
      <c r="AF7" s="24" t="inlineStr">
        <is>
          <t>Usuarios
Web</t>
        </is>
      </c>
      <c r="AG7" s="24" t="inlineStr">
        <is>
          <t>Sesiones
Web</t>
        </is>
      </c>
    </row>
    <row r="8" ht="24" customHeight="1">
      <c r="B8" s="37" t="inlineStr">
        <is>
          <t>S1</t>
        </is>
      </c>
      <c r="C8" s="37" t="inlineStr">
        <is>
          <t>23-29 Mar</t>
        </is>
      </c>
      <c r="D8" s="39" t="n">
        <v>13801</v>
      </c>
      <c r="E8" s="39" t="n">
        <v>35964</v>
      </c>
      <c r="F8" s="38" t="n">
        <v>2048</v>
      </c>
      <c r="G8" s="44" t="n">
        <v>2.6</v>
      </c>
      <c r="H8" s="39" t="n">
        <v>233</v>
      </c>
      <c r="I8" s="39" t="n">
        <v>244</v>
      </c>
      <c r="J8" s="39" t="n">
        <v>25718</v>
      </c>
      <c r="K8" s="39" t="n">
        <v>58405</v>
      </c>
      <c r="L8" s="38" t="n">
        <v>676</v>
      </c>
      <c r="M8" s="44" t="n">
        <v>2.2</v>
      </c>
      <c r="N8" s="39" t="n">
        <v>163</v>
      </c>
      <c r="O8" s="39" t="n">
        <v>177</v>
      </c>
      <c r="P8" s="39" t="n">
        <v>12088</v>
      </c>
      <c r="Q8" s="39" t="n">
        <v>34779</v>
      </c>
      <c r="R8" s="38" t="n">
        <v>1034</v>
      </c>
      <c r="S8" s="44" t="n">
        <v>2.8</v>
      </c>
      <c r="T8" s="39" t="n">
        <v>163</v>
      </c>
      <c r="U8" s="39" t="n">
        <v>171</v>
      </c>
      <c r="V8" s="39" t="n">
        <v>257456</v>
      </c>
      <c r="W8" s="39" t="n">
        <v>313311</v>
      </c>
      <c r="X8" s="38" t="n">
        <v>214</v>
      </c>
      <c r="Y8" s="44" t="n">
        <v>1.2</v>
      </c>
      <c r="Z8" s="39" t="n">
        <v>187</v>
      </c>
      <c r="AA8" s="39" t="n">
        <v>187</v>
      </c>
      <c r="AB8" s="39" t="n">
        <v>21697</v>
      </c>
      <c r="AC8" s="39" t="n">
        <v>24512</v>
      </c>
      <c r="AD8" s="38" t="n">
        <v>222</v>
      </c>
      <c r="AE8" s="44" t="n">
        <v>1.1</v>
      </c>
      <c r="AF8" s="39" t="n">
        <v>17</v>
      </c>
      <c r="AG8" s="39" t="n">
        <v>17</v>
      </c>
    </row>
    <row r="9" ht="24" customHeight="1">
      <c r="B9" s="37" t="n"/>
      <c r="C9" s="37" t="n"/>
      <c r="D9" s="39" t="n"/>
      <c r="E9" s="39" t="n"/>
      <c r="F9" s="38" t="n"/>
      <c r="G9" s="44" t="n"/>
      <c r="H9" s="39" t="n"/>
      <c r="I9" s="39" t="n"/>
      <c r="J9" s="39" t="n"/>
      <c r="K9" s="39" t="n"/>
      <c r="L9" s="38" t="n"/>
      <c r="M9" s="44" t="n"/>
      <c r="N9" s="39" t="n"/>
      <c r="O9" s="39" t="n"/>
      <c r="P9" s="39" t="n"/>
      <c r="Q9" s="39" t="n"/>
      <c r="R9" s="38" t="n"/>
      <c r="S9" s="44" t="n"/>
      <c r="T9" s="39" t="n"/>
      <c r="U9" s="39" t="n"/>
      <c r="V9" s="39" t="n"/>
      <c r="W9" s="39" t="n"/>
      <c r="X9" s="38" t="n"/>
      <c r="Y9" s="44" t="n"/>
      <c r="Z9" s="39" t="n"/>
      <c r="AA9" s="39" t="n"/>
      <c r="AB9" s="39" t="n"/>
      <c r="AC9" s="39" t="n"/>
      <c r="AD9" s="38" t="n"/>
      <c r="AE9" s="44" t="n"/>
      <c r="AF9" s="39" t="n"/>
      <c r="AG9" s="39" t="n"/>
    </row>
    <row r="10" ht="24" customHeight="1">
      <c r="B10" s="37" t="n"/>
      <c r="C10" s="37" t="n"/>
      <c r="D10" s="39" t="n"/>
      <c r="E10" s="39" t="n"/>
      <c r="F10" s="38" t="n"/>
      <c r="G10" s="44" t="n"/>
      <c r="H10" s="39" t="n"/>
      <c r="I10" s="39" t="n"/>
      <c r="J10" s="39" t="n"/>
      <c r="K10" s="39" t="n"/>
      <c r="L10" s="38" t="n"/>
      <c r="M10" s="44" t="n"/>
      <c r="N10" s="39" t="n"/>
      <c r="O10" s="39" t="n"/>
      <c r="P10" s="39" t="n"/>
      <c r="Q10" s="39" t="n"/>
      <c r="R10" s="38" t="n"/>
      <c r="S10" s="44" t="n"/>
      <c r="T10" s="39" t="n"/>
      <c r="U10" s="39" t="n"/>
      <c r="V10" s="39" t="n"/>
      <c r="W10" s="39" t="n"/>
      <c r="X10" s="38" t="n"/>
      <c r="Y10" s="44" t="n"/>
      <c r="Z10" s="39" t="n"/>
      <c r="AA10" s="39" t="n"/>
      <c r="AB10" s="39" t="n"/>
      <c r="AC10" s="39" t="n"/>
      <c r="AD10" s="38" t="n"/>
      <c r="AE10" s="44" t="n"/>
      <c r="AF10" s="39" t="n"/>
      <c r="AG10" s="39" t="n"/>
    </row>
    <row r="11" ht="24" customHeight="1">
      <c r="B11" s="37" t="n"/>
      <c r="C11" s="37" t="n"/>
      <c r="D11" s="39" t="n"/>
      <c r="E11" s="39" t="n"/>
      <c r="F11" s="38" t="n"/>
      <c r="G11" s="44" t="n"/>
      <c r="H11" s="39" t="n"/>
      <c r="I11" s="39" t="n"/>
      <c r="J11" s="39" t="n"/>
      <c r="K11" s="39" t="n"/>
      <c r="L11" s="38" t="n"/>
      <c r="M11" s="44" t="n"/>
      <c r="N11" s="39" t="n"/>
      <c r="O11" s="39" t="n"/>
      <c r="P11" s="39" t="n"/>
      <c r="Q11" s="39" t="n"/>
      <c r="R11" s="38" t="n"/>
      <c r="S11" s="44" t="n"/>
      <c r="T11" s="39" t="n"/>
      <c r="U11" s="39" t="n"/>
      <c r="V11" s="39" t="n"/>
      <c r="W11" s="39" t="n"/>
      <c r="X11" s="38" t="n"/>
      <c r="Y11" s="44" t="n"/>
      <c r="Z11" s="39" t="n"/>
      <c r="AA11" s="39" t="n"/>
      <c r="AB11" s="39" t="n"/>
      <c r="AC11" s="39" t="n"/>
      <c r="AD11" s="38" t="n"/>
      <c r="AE11" s="44" t="n"/>
      <c r="AF11" s="39" t="n"/>
      <c r="AG11" s="39" t="n"/>
    </row>
    <row r="12" ht="24" customHeight="1">
      <c r="B12" s="37" t="n"/>
      <c r="C12" s="37" t="n"/>
      <c r="D12" s="39" t="n"/>
      <c r="E12" s="39" t="n"/>
      <c r="F12" s="38" t="n"/>
      <c r="G12" s="44" t="n"/>
      <c r="H12" s="39" t="n"/>
      <c r="I12" s="39" t="n"/>
      <c r="J12" s="39" t="n"/>
      <c r="K12" s="39" t="n"/>
      <c r="L12" s="38" t="n"/>
      <c r="M12" s="44" t="n"/>
      <c r="N12" s="39" t="n"/>
      <c r="O12" s="39" t="n"/>
      <c r="P12" s="39" t="n"/>
      <c r="Q12" s="39" t="n"/>
      <c r="R12" s="38" t="n"/>
      <c r="S12" s="44" t="n"/>
      <c r="T12" s="39" t="n"/>
      <c r="U12" s="39" t="n"/>
      <c r="V12" s="39" t="n"/>
      <c r="W12" s="39" t="n"/>
      <c r="X12" s="38" t="n"/>
      <c r="Y12" s="44" t="n"/>
      <c r="Z12" s="39" t="n"/>
      <c r="AA12" s="39" t="n"/>
      <c r="AB12" s="39" t="n"/>
      <c r="AC12" s="39" t="n"/>
      <c r="AD12" s="38" t="n"/>
      <c r="AE12" s="44" t="n"/>
      <c r="AF12" s="39" t="n"/>
      <c r="AG12" s="39" t="n"/>
    </row>
    <row r="13" ht="24" customHeight="1">
      <c r="B13" s="37" t="n"/>
      <c r="C13" s="37" t="n"/>
      <c r="D13" s="39" t="n"/>
      <c r="E13" s="39" t="n"/>
      <c r="F13" s="38" t="n"/>
      <c r="G13" s="44" t="n"/>
      <c r="H13" s="39" t="n"/>
      <c r="I13" s="39" t="n"/>
      <c r="J13" s="39" t="n"/>
      <c r="K13" s="39" t="n"/>
      <c r="L13" s="38" t="n"/>
      <c r="M13" s="44" t="n"/>
      <c r="N13" s="39" t="n"/>
      <c r="O13" s="39" t="n"/>
      <c r="P13" s="39" t="n"/>
      <c r="Q13" s="39" t="n"/>
      <c r="R13" s="38" t="n"/>
      <c r="S13" s="44" t="n"/>
      <c r="T13" s="39" t="n"/>
      <c r="U13" s="39" t="n"/>
      <c r="V13" s="39" t="n"/>
      <c r="W13" s="39" t="n"/>
      <c r="X13" s="38" t="n"/>
      <c r="Y13" s="44" t="n"/>
      <c r="Z13" s="39" t="n"/>
      <c r="AA13" s="39" t="n"/>
      <c r="AB13" s="39" t="n"/>
      <c r="AC13" s="39" t="n"/>
      <c r="AD13" s="38" t="n"/>
      <c r="AE13" s="44" t="n"/>
      <c r="AF13" s="39" t="n"/>
      <c r="AG13" s="39" t="n"/>
    </row>
    <row r="14" ht="24" customHeight="1">
      <c r="B14" s="37" t="n"/>
      <c r="C14" s="37" t="n"/>
      <c r="D14" s="39" t="n"/>
      <c r="E14" s="39" t="n"/>
      <c r="F14" s="38" t="n"/>
      <c r="G14" s="44" t="n"/>
      <c r="H14" s="39" t="n"/>
      <c r="I14" s="39" t="n"/>
      <c r="J14" s="39" t="n"/>
      <c r="K14" s="39" t="n"/>
      <c r="L14" s="38" t="n"/>
      <c r="M14" s="44" t="n"/>
      <c r="N14" s="39" t="n"/>
      <c r="O14" s="39" t="n"/>
      <c r="P14" s="39" t="n"/>
      <c r="Q14" s="39" t="n"/>
      <c r="R14" s="38" t="n"/>
      <c r="S14" s="44" t="n"/>
      <c r="T14" s="39" t="n"/>
      <c r="U14" s="39" t="n"/>
      <c r="V14" s="39" t="n"/>
      <c r="W14" s="39" t="n"/>
      <c r="X14" s="38" t="n"/>
      <c r="Y14" s="44" t="n"/>
      <c r="Z14" s="39" t="n"/>
      <c r="AA14" s="39" t="n"/>
      <c r="AB14" s="39" t="n"/>
      <c r="AC14" s="39" t="n"/>
      <c r="AD14" s="38" t="n"/>
      <c r="AE14" s="44" t="n"/>
      <c r="AF14" s="39" t="n"/>
      <c r="AG14" s="39" t="n"/>
    </row>
    <row r="15" ht="24" customHeight="1">
      <c r="B15" s="37" t="n"/>
      <c r="C15" s="37" t="n"/>
      <c r="D15" s="39" t="n"/>
      <c r="E15" s="39" t="n"/>
      <c r="F15" s="38" t="n"/>
      <c r="G15" s="44" t="n"/>
      <c r="H15" s="39" t="n"/>
      <c r="I15" s="39" t="n"/>
      <c r="J15" s="39" t="n"/>
      <c r="K15" s="39" t="n"/>
      <c r="L15" s="38" t="n"/>
      <c r="M15" s="44" t="n"/>
      <c r="N15" s="39" t="n"/>
      <c r="O15" s="39" t="n"/>
      <c r="P15" s="39" t="n"/>
      <c r="Q15" s="39" t="n"/>
      <c r="R15" s="38" t="n"/>
      <c r="S15" s="44" t="n"/>
      <c r="T15" s="39" t="n"/>
      <c r="U15" s="39" t="n"/>
      <c r="V15" s="39" t="n"/>
      <c r="W15" s="39" t="n"/>
      <c r="X15" s="38" t="n"/>
      <c r="Y15" s="44" t="n"/>
      <c r="Z15" s="39" t="n"/>
      <c r="AA15" s="39" t="n"/>
      <c r="AB15" s="39" t="n"/>
      <c r="AC15" s="39" t="n"/>
      <c r="AD15" s="38" t="n"/>
      <c r="AE15" s="44" t="n"/>
      <c r="AF15" s="39" t="n"/>
      <c r="AG15" s="39" t="n"/>
    </row>
    <row r="16" ht="24" customHeight="1">
      <c r="B16" s="37" t="n"/>
      <c r="C16" s="37" t="n"/>
      <c r="D16" s="39" t="n"/>
      <c r="E16" s="39" t="n"/>
      <c r="F16" s="38" t="n"/>
      <c r="G16" s="44" t="n"/>
      <c r="H16" s="39" t="n"/>
      <c r="I16" s="39" t="n"/>
      <c r="J16" s="39" t="n"/>
      <c r="K16" s="39" t="n"/>
      <c r="L16" s="38" t="n"/>
      <c r="M16" s="44" t="n"/>
      <c r="N16" s="39" t="n"/>
      <c r="O16" s="39" t="n"/>
      <c r="P16" s="39" t="n"/>
      <c r="Q16" s="39" t="n"/>
      <c r="R16" s="38" t="n"/>
      <c r="S16" s="44" t="n"/>
      <c r="T16" s="39" t="n"/>
      <c r="U16" s="39" t="n"/>
      <c r="V16" s="39" t="n"/>
      <c r="W16" s="39" t="n"/>
      <c r="X16" s="38" t="n"/>
      <c r="Y16" s="44" t="n"/>
      <c r="Z16" s="39" t="n"/>
      <c r="AA16" s="39" t="n"/>
      <c r="AB16" s="39" t="n"/>
      <c r="AC16" s="39" t="n"/>
      <c r="AD16" s="38" t="n"/>
      <c r="AE16" s="44" t="n"/>
      <c r="AF16" s="39" t="n"/>
      <c r="AG16" s="39" t="n"/>
    </row>
  </sheetData>
  <mergeCells count="8">
    <mergeCell ref="P6:U6"/>
    <mergeCell ref="B6:C6"/>
    <mergeCell ref="AB6:AG6"/>
    <mergeCell ref="B4:AG4"/>
    <mergeCell ref="D6:I6"/>
    <mergeCell ref="V6:AA6"/>
    <mergeCell ref="B2:AG2"/>
    <mergeCell ref="J6:O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7B3E"/>
    <outlinePr summaryBelow="1" summaryRight="1"/>
    <pageSetUpPr/>
  </sheetPr>
  <dimension ref="B2:O1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6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4" customWidth="1" min="12" max="12"/>
    <col width="12" customWidth="1" min="13" max="13"/>
    <col width="10" customWidth="1" min="14" max="14"/>
    <col width="14" customWidth="1" min="15" max="15"/>
    <col width="3" customWidth="1" min="16" max="16"/>
  </cols>
  <sheetData>
    <row r="1" ht="8" customHeight="1"/>
    <row r="2" ht="36" customHeight="1">
      <c r="B2" s="22" t="inlineStr">
        <is>
          <t>GA4 &amp; ANALYTICS SEMANAL  ·  BTG ETF Genérico</t>
        </is>
      </c>
    </row>
    <row r="3" ht="8" customHeight="1"/>
    <row r="4" ht="20" customHeight="1">
      <c r="B4" s="31" t="inlineStr">
        <is>
          <t xml:space="preserve">  🟡 Celdas amarillas = completar   🔵 Celdas azules = % calculado vs metas (referencia hoja METAS)   ·   Fuente: Google Analytics 4</t>
        </is>
      </c>
    </row>
    <row r="5" ht="8" customHeight="1"/>
    <row r="6" ht="22" customHeight="1">
      <c r="B6" s="16" t="inlineStr">
        <is>
          <t>IDENTIFICACIÓN</t>
        </is>
      </c>
      <c r="C6" s="32" t="n"/>
      <c r="D6" s="36" t="inlineStr">
        <is>
          <t>ACUMULADO DEL MES</t>
        </is>
      </c>
      <c r="E6" s="32" t="n"/>
      <c r="F6" s="32" t="n"/>
      <c r="G6" s="32" t="n"/>
      <c r="H6" s="32" t="n"/>
      <c r="I6" s="32" t="n"/>
      <c r="J6" s="42" t="inlineStr">
        <is>
          <t>LANDING TOTAL (semana)</t>
        </is>
      </c>
      <c r="K6" s="32" t="n"/>
      <c r="L6" s="32" t="n"/>
      <c r="M6" s="45" t="inlineStr">
        <is>
          <t>BOTÓN FONDO (semana)</t>
        </is>
      </c>
      <c r="N6" s="32" t="n"/>
      <c r="O6" s="32" t="n"/>
    </row>
    <row r="7" ht="44" customHeight="1">
      <c r="B7" s="24" t="inlineStr">
        <is>
          <t>Sem.</t>
        </is>
      </c>
      <c r="C7" s="24" t="inlineStr">
        <is>
          <t>Período</t>
        </is>
      </c>
      <c r="D7" s="24" t="inlineStr">
        <is>
          <t>Impresiones
Acum.</t>
        </is>
      </c>
      <c r="E7" s="24" t="inlineStr">
        <is>
          <t>Alcance
Acum.</t>
        </is>
      </c>
      <c r="F7" s="24" t="inlineStr">
        <is>
          <t>Sesiones
ETF Acum.</t>
        </is>
      </c>
      <c r="G7" s="24" t="inlineStr">
        <is>
          <t>% Avance
Impresiones</t>
        </is>
      </c>
      <c r="H7" s="24" t="inlineStr">
        <is>
          <t>% Avance
Alcance</t>
        </is>
      </c>
      <c r="I7" s="24" t="inlineStr">
        <is>
          <t>% Avance
Sesiones</t>
        </is>
      </c>
      <c r="J7" s="24" t="inlineStr">
        <is>
          <t>Usuarios</t>
        </is>
      </c>
      <c r="K7" s="24" t="inlineStr">
        <is>
          <t>Sesiones</t>
        </is>
      </c>
      <c r="L7" s="24" t="inlineStr">
        <is>
          <t>Duración
Media</t>
        </is>
      </c>
      <c r="M7" s="24" t="inlineStr">
        <is>
          <t>Usuarios</t>
        </is>
      </c>
      <c r="N7" s="24" t="inlineStr">
        <is>
          <t>Sesiones</t>
        </is>
      </c>
      <c r="O7" s="24" t="inlineStr">
        <is>
          <t>Duración
Media</t>
        </is>
      </c>
    </row>
    <row r="8" ht="24" customHeight="1">
      <c r="B8" s="37" t="inlineStr">
        <is>
          <t>S1</t>
        </is>
      </c>
      <c r="C8" s="37" t="inlineStr">
        <is>
          <t>23-29 Mar</t>
        </is>
      </c>
      <c r="D8" s="39" t="n">
        <v>640356</v>
      </c>
      <c r="E8" s="39" t="n">
        <v>369761</v>
      </c>
      <c r="F8" s="39" t="n">
        <v>2160</v>
      </c>
      <c r="G8" s="46">
        <f>IF(METAS!D7=0,"-",D8/METAS!D7)</f>
        <v/>
      </c>
      <c r="H8" s="46">
        <f>IF(METAS!E7=0,"-",E8/METAS!E7)</f>
        <v/>
      </c>
      <c r="I8" s="46">
        <f>IF(METAS!F7=0,"-",F8/METAS!F7)</f>
        <v/>
      </c>
      <c r="J8" s="39" t="n">
        <v>483</v>
      </c>
      <c r="K8" s="39" t="n">
        <v>524</v>
      </c>
      <c r="L8" s="37" t="inlineStr">
        <is>
          <t>10:00</t>
        </is>
      </c>
      <c r="M8" s="39" t="n">
        <v>40</v>
      </c>
      <c r="N8" s="39" t="n">
        <v>43</v>
      </c>
      <c r="O8" s="37" t="inlineStr">
        <is>
          <t>09:46</t>
        </is>
      </c>
    </row>
    <row r="9" ht="24" customHeight="1">
      <c r="B9" s="37" t="n"/>
      <c r="C9" s="37" t="n"/>
      <c r="D9" s="39" t="n"/>
      <c r="E9" s="39" t="n"/>
      <c r="F9" s="39" t="n"/>
      <c r="G9" s="46">
        <f>IF(METAS!D7=0,"-",D9/METAS!D7)</f>
        <v/>
      </c>
      <c r="H9" s="46">
        <f>IF(METAS!E7=0,"-",E9/METAS!E7)</f>
        <v/>
      </c>
      <c r="I9" s="46">
        <f>IF(METAS!F7=0,"-",F9/METAS!F7)</f>
        <v/>
      </c>
      <c r="J9" s="39" t="n"/>
      <c r="K9" s="39" t="n"/>
      <c r="L9" s="37" t="n"/>
      <c r="M9" s="39" t="n"/>
      <c r="N9" s="39" t="n"/>
      <c r="O9" s="37" t="n"/>
    </row>
    <row r="10" ht="24" customHeight="1">
      <c r="B10" s="37" t="n"/>
      <c r="C10" s="37" t="n"/>
      <c r="D10" s="39" t="n"/>
      <c r="E10" s="39" t="n"/>
      <c r="F10" s="39" t="n"/>
      <c r="G10" s="46">
        <f>IF(METAS!D7=0,"-",D10/METAS!D7)</f>
        <v/>
      </c>
      <c r="H10" s="46">
        <f>IF(METAS!E7=0,"-",E10/METAS!E7)</f>
        <v/>
      </c>
      <c r="I10" s="46">
        <f>IF(METAS!F7=0,"-",F10/METAS!F7)</f>
        <v/>
      </c>
      <c r="J10" s="39" t="n"/>
      <c r="K10" s="39" t="n"/>
      <c r="L10" s="37" t="n"/>
      <c r="M10" s="39" t="n"/>
      <c r="N10" s="39" t="n"/>
      <c r="O10" s="37" t="n"/>
    </row>
    <row r="11" ht="24" customHeight="1">
      <c r="B11" s="37" t="n"/>
      <c r="C11" s="37" t="n"/>
      <c r="D11" s="39" t="n"/>
      <c r="E11" s="39" t="n"/>
      <c r="F11" s="39" t="n"/>
      <c r="G11" s="46">
        <f>IF(METAS!D7=0,"-",D11/METAS!D7)</f>
        <v/>
      </c>
      <c r="H11" s="46">
        <f>IF(METAS!E7=0,"-",E11/METAS!E7)</f>
        <v/>
      </c>
      <c r="I11" s="46">
        <f>IF(METAS!F7=0,"-",F11/METAS!F7)</f>
        <v/>
      </c>
      <c r="J11" s="39" t="n"/>
      <c r="K11" s="39" t="n"/>
      <c r="L11" s="37" t="n"/>
      <c r="M11" s="39" t="n"/>
      <c r="N11" s="39" t="n"/>
      <c r="O11" s="37" t="n"/>
    </row>
    <row r="12" ht="24" customHeight="1">
      <c r="B12" s="37" t="n"/>
      <c r="C12" s="37" t="n"/>
      <c r="D12" s="39" t="n"/>
      <c r="E12" s="39" t="n"/>
      <c r="F12" s="39" t="n"/>
      <c r="G12" s="46">
        <f>IF(METAS!D7=0,"-",D12/METAS!D7)</f>
        <v/>
      </c>
      <c r="H12" s="46">
        <f>IF(METAS!E7=0,"-",E12/METAS!E7)</f>
        <v/>
      </c>
      <c r="I12" s="46">
        <f>IF(METAS!F7=0,"-",F12/METAS!F7)</f>
        <v/>
      </c>
      <c r="J12" s="39" t="n"/>
      <c r="K12" s="39" t="n"/>
      <c r="L12" s="37" t="n"/>
      <c r="M12" s="39" t="n"/>
      <c r="N12" s="39" t="n"/>
      <c r="O12" s="37" t="n"/>
    </row>
    <row r="13" ht="24" customHeight="1">
      <c r="B13" s="37" t="n"/>
      <c r="C13" s="37" t="n"/>
      <c r="D13" s="39" t="n"/>
      <c r="E13" s="39" t="n"/>
      <c r="F13" s="39" t="n"/>
      <c r="G13" s="46">
        <f>IF(METAS!D7=0,"-",D13/METAS!D7)</f>
        <v/>
      </c>
      <c r="H13" s="46">
        <f>IF(METAS!E7=0,"-",E13/METAS!E7)</f>
        <v/>
      </c>
      <c r="I13" s="46">
        <f>IF(METAS!F7=0,"-",F13/METAS!F7)</f>
        <v/>
      </c>
      <c r="J13" s="39" t="n"/>
      <c r="K13" s="39" t="n"/>
      <c r="L13" s="37" t="n"/>
      <c r="M13" s="39" t="n"/>
      <c r="N13" s="39" t="n"/>
      <c r="O13" s="37" t="n"/>
    </row>
    <row r="14" ht="24" customHeight="1">
      <c r="B14" s="37" t="n"/>
      <c r="C14" s="37" t="n"/>
      <c r="D14" s="39" t="n"/>
      <c r="E14" s="39" t="n"/>
      <c r="F14" s="39" t="n"/>
      <c r="G14" s="46">
        <f>IF(METAS!D7=0,"-",D14/METAS!D7)</f>
        <v/>
      </c>
      <c r="H14" s="46">
        <f>IF(METAS!E7=0,"-",E14/METAS!E7)</f>
        <v/>
      </c>
      <c r="I14" s="46">
        <f>IF(METAS!F7=0,"-",F14/METAS!F7)</f>
        <v/>
      </c>
      <c r="J14" s="39" t="n"/>
      <c r="K14" s="39" t="n"/>
      <c r="L14" s="37" t="n"/>
      <c r="M14" s="39" t="n"/>
      <c r="N14" s="39" t="n"/>
      <c r="O14" s="37" t="n"/>
    </row>
    <row r="15" ht="24" customHeight="1">
      <c r="B15" s="37" t="n"/>
      <c r="C15" s="37" t="n"/>
      <c r="D15" s="39" t="n"/>
      <c r="E15" s="39" t="n"/>
      <c r="F15" s="39" t="n"/>
      <c r="G15" s="46">
        <f>IF(METAS!D7=0,"-",D15/METAS!D7)</f>
        <v/>
      </c>
      <c r="H15" s="46">
        <f>IF(METAS!E7=0,"-",E15/METAS!E7)</f>
        <v/>
      </c>
      <c r="I15" s="46">
        <f>IF(METAS!F7=0,"-",F15/METAS!F7)</f>
        <v/>
      </c>
      <c r="J15" s="39" t="n"/>
      <c r="K15" s="39" t="n"/>
      <c r="L15" s="37" t="n"/>
      <c r="M15" s="39" t="n"/>
      <c r="N15" s="39" t="n"/>
      <c r="O15" s="37" t="n"/>
    </row>
    <row r="16" ht="24" customHeight="1">
      <c r="B16" s="37" t="n"/>
      <c r="C16" s="37" t="n"/>
      <c r="D16" s="39" t="n"/>
      <c r="E16" s="39" t="n"/>
      <c r="F16" s="39" t="n"/>
      <c r="G16" s="46">
        <f>IF(METAS!D7=0,"-",D16/METAS!D7)</f>
        <v/>
      </c>
      <c r="H16" s="46">
        <f>IF(METAS!E7=0,"-",E16/METAS!E7)</f>
        <v/>
      </c>
      <c r="I16" s="46">
        <f>IF(METAS!F7=0,"-",F16/METAS!F7)</f>
        <v/>
      </c>
      <c r="J16" s="39" t="n"/>
      <c r="K16" s="39" t="n"/>
      <c r="L16" s="37" t="n"/>
      <c r="M16" s="39" t="n"/>
      <c r="N16" s="39" t="n"/>
      <c r="O16" s="37" t="n"/>
    </row>
  </sheetData>
  <mergeCells count="6">
    <mergeCell ref="B6:C6"/>
    <mergeCell ref="J6:L6"/>
    <mergeCell ref="B4:O4"/>
    <mergeCell ref="B2:O2"/>
    <mergeCell ref="D6:I6"/>
    <mergeCell ref="M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2026-04-02T15:02:46Z</dcterms:created>
  <dcterms:modified xsi:type="dcterms:W3CDTF">2026-04-02T15:02:46Z</dcterms:modified>
</cp:coreProperties>
</file>